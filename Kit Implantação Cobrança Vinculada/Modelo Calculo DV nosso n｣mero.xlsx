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gucap-my.sharepoint.com/personal/douglas_silva_asa_com_br/Documents/Desktop/Manuais CNAB ASA/"/>
    </mc:Choice>
  </mc:AlternateContent>
  <xr:revisionPtr revIDLastSave="110" documentId="13_ncr:1_{A75FCA2A-0B9F-4038-A31D-A8E609ABD357}" xr6:coauthVersionLast="47" xr6:coauthVersionMax="47" xr10:uidLastSave="{619F76A3-BF3C-424A-A0F4-1DE568765CD7}"/>
  <bookViews>
    <workbookView xWindow="-120" yWindow="-120" windowWidth="29040" windowHeight="15720" xr2:uid="{7DB058BC-6A34-46EB-9762-929B4FEFA30D}"/>
  </bookViews>
  <sheets>
    <sheet name="MODULO 10" sheetId="1" r:id="rId1"/>
    <sheet name="MODULO 11 - 11 CARACTERES" sheetId="2" r:id="rId2"/>
    <sheet name="MODULO 11 - 8 CARACTERE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T10" i="1"/>
  <c r="S10" i="1"/>
  <c r="R10" i="1"/>
  <c r="Q10" i="1"/>
  <c r="P10" i="1"/>
  <c r="O10" i="1"/>
  <c r="N10" i="1"/>
  <c r="M10" i="1"/>
  <c r="L10" i="1"/>
  <c r="S12" i="1" l="1"/>
  <c r="S13" i="1" s="1"/>
  <c r="J7" i="3"/>
  <c r="I7" i="3"/>
  <c r="I9" i="3" s="1"/>
  <c r="H7" i="3"/>
  <c r="H9" i="3" s="1"/>
  <c r="G7" i="3"/>
  <c r="G9" i="3" s="1"/>
  <c r="F7" i="3"/>
  <c r="F9" i="3" s="1"/>
  <c r="E7" i="3"/>
  <c r="E9" i="3" s="1"/>
  <c r="D7" i="3"/>
  <c r="D9" i="3" s="1"/>
  <c r="C7" i="3"/>
  <c r="C9" i="3" s="1"/>
  <c r="M7" i="2"/>
  <c r="L7" i="2"/>
  <c r="L9" i="2" s="1"/>
  <c r="K7" i="2"/>
  <c r="K9" i="2" s="1"/>
  <c r="J7" i="2"/>
  <c r="J9" i="2" s="1"/>
  <c r="I7" i="2"/>
  <c r="I9" i="2" s="1"/>
  <c r="H7" i="2"/>
  <c r="H9" i="2" s="1"/>
  <c r="G7" i="2"/>
  <c r="G9" i="2" s="1"/>
  <c r="F7" i="2"/>
  <c r="F9" i="2" s="1"/>
  <c r="E7" i="2"/>
  <c r="E9" i="2" s="1"/>
  <c r="D7" i="2"/>
  <c r="D9" i="2" s="1"/>
  <c r="C7" i="2"/>
  <c r="C9" i="2" s="1"/>
  <c r="T12" i="1"/>
  <c r="T13" i="1" s="1"/>
  <c r="Q12" i="1"/>
  <c r="Q13" i="1" s="1"/>
  <c r="P12" i="1"/>
  <c r="P13" i="1" s="1"/>
  <c r="O12" i="1"/>
  <c r="O13" i="1" s="1"/>
  <c r="N12" i="1"/>
  <c r="N13" i="1" s="1"/>
  <c r="K12" i="1"/>
  <c r="K13" i="1" s="1"/>
  <c r="J10" i="1"/>
  <c r="J12" i="1" s="1"/>
  <c r="J13" i="1" s="1"/>
  <c r="I10" i="1"/>
  <c r="I12" i="1" s="1"/>
  <c r="I13" i="1" s="1"/>
  <c r="H10" i="1"/>
  <c r="H12" i="1" s="1"/>
  <c r="H13" i="1" s="1"/>
  <c r="G10" i="1"/>
  <c r="G12" i="1" s="1"/>
  <c r="G13" i="1" s="1"/>
  <c r="F10" i="1"/>
  <c r="F12" i="1" s="1"/>
  <c r="F13" i="1" s="1"/>
  <c r="E10" i="1"/>
  <c r="E12" i="1" s="1"/>
  <c r="E13" i="1" s="1"/>
  <c r="D10" i="1"/>
  <c r="D12" i="1" s="1"/>
  <c r="D13" i="1" s="1"/>
  <c r="J10" i="3" l="1"/>
  <c r="J11" i="3" s="1"/>
  <c r="J12" i="3" s="1"/>
  <c r="J13" i="3" s="1"/>
  <c r="K7" i="3" s="1"/>
  <c r="L12" i="1"/>
  <c r="L13" i="1" s="1"/>
  <c r="R12" i="1"/>
  <c r="R13" i="1" s="1"/>
  <c r="M12" i="1"/>
  <c r="M13" i="1" s="1"/>
  <c r="M10" i="2"/>
  <c r="M11" i="2" s="1"/>
  <c r="M12" i="2" s="1"/>
  <c r="M13" i="2" s="1"/>
  <c r="N7" i="2" s="1"/>
  <c r="D14" i="1" l="1"/>
  <c r="D17" i="1" s="1"/>
  <c r="D19" i="1" s="1"/>
  <c r="D20" i="1" l="1"/>
  <c r="C22" i="1" s="1"/>
</calcChain>
</file>

<file path=xl/sharedStrings.xml><?xml version="1.0" encoding="utf-8"?>
<sst xmlns="http://schemas.openxmlformats.org/spreadsheetml/2006/main" count="38" uniqueCount="25">
  <si>
    <t>AG</t>
  </si>
  <si>
    <t>CARTEIRA</t>
  </si>
  <si>
    <t>0001</t>
  </si>
  <si>
    <t>NN - S/ DIG</t>
  </si>
  <si>
    <t>NOSSO NUMERO</t>
  </si>
  <si>
    <t>X</t>
  </si>
  <si>
    <t>&lt;- INFORME AQUI O  NN A SER CALCULADO</t>
  </si>
  <si>
    <t xml:space="preserve">Total </t>
  </si>
  <si>
    <t>A-) Montagem</t>
  </si>
  <si>
    <t>B- ) Somar digitos</t>
  </si>
  <si>
    <t>c-) Divisão Resultado</t>
  </si>
  <si>
    <t>Resultado total</t>
  </si>
  <si>
    <t>Modulo 10</t>
  </si>
  <si>
    <t>Resto divisão</t>
  </si>
  <si>
    <t>DIGITO</t>
  </si>
  <si>
    <t>NN - C/ DIGITO</t>
  </si>
  <si>
    <t>DIGITE O NN ABAIXO + DV</t>
  </si>
  <si>
    <t>DIGITO INFORMADO</t>
  </si>
  <si>
    <t>DIGITO CORRETO</t>
  </si>
  <si>
    <t>NOSSO NÚMERO SEM O DÍGITO</t>
  </si>
  <si>
    <t>FATORES DE MULTIPLICAÇÃO</t>
  </si>
  <si>
    <t>NN * FATOR</t>
  </si>
  <si>
    <t>SOMA(B6:K6)</t>
  </si>
  <si>
    <t>MOD(L7;11) - Resto da divisão</t>
  </si>
  <si>
    <t>11-L8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</si>
</sst>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3" borderId="0" xfId="0" quotePrefix="1" applyFont="1" applyFill="1" applyAlignment="1" applyProtection="1">
      <alignment horizontal="left"/>
      <protection locked="0"/>
    </xf>
    <xf numFmtId="0" fontId="1" fillId="3" borderId="0" xfId="0" applyFont="1" applyFill="1" applyProtection="1">
      <protection locked="0"/>
    </xf>
    <xf numFmtId="0" fontId="1" fillId="0" borderId="5" xfId="0" applyFont="1" applyBorder="1"/>
    <xf numFmtId="0" fontId="1" fillId="0" borderId="6" xfId="0" applyFont="1" applyBorder="1"/>
    <xf numFmtId="0" fontId="1" fillId="5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3995-870F-49F9-BD78-52338C5A7AB2}">
  <dimension ref="B5:X22"/>
  <sheetViews>
    <sheetView showGridLines="0" tabSelected="1" zoomScale="115" zoomScaleNormal="115" workbookViewId="0">
      <selection activeCell="C8" sqref="C8"/>
    </sheetView>
  </sheetViews>
  <sheetFormatPr defaultRowHeight="21" x14ac:dyDescent="0.35"/>
  <cols>
    <col min="1" max="1" width="9.140625" style="1"/>
    <col min="2" max="2" width="19.5703125" style="1" bestFit="1" customWidth="1"/>
    <col min="3" max="3" width="22" style="1" bestFit="1" customWidth="1"/>
    <col min="4" max="4" width="12" style="1" bestFit="1" customWidth="1"/>
    <col min="5" max="9" width="2.85546875" style="1" bestFit="1" customWidth="1"/>
    <col min="10" max="10" width="3.85546875" style="1" customWidth="1"/>
    <col min="11" max="15" width="2.85546875" style="1" bestFit="1" customWidth="1"/>
    <col min="16" max="16" width="4.42578125" style="1" bestFit="1" customWidth="1"/>
    <col min="17" max="17" width="2.85546875" style="1" bestFit="1" customWidth="1"/>
    <col min="18" max="18" width="4.42578125" style="1" bestFit="1" customWidth="1"/>
    <col min="19" max="19" width="2.85546875" style="1" bestFit="1" customWidth="1"/>
    <col min="20" max="20" width="12.28515625" style="1" bestFit="1" customWidth="1"/>
    <col min="21" max="16384" width="9.140625" style="1"/>
  </cols>
  <sheetData>
    <row r="5" spans="2:24" x14ac:dyDescent="0.35">
      <c r="B5" s="1" t="s">
        <v>0</v>
      </c>
      <c r="C5" s="2" t="s">
        <v>2</v>
      </c>
    </row>
    <row r="6" spans="2:24" x14ac:dyDescent="0.35">
      <c r="B6" s="1" t="s">
        <v>1</v>
      </c>
      <c r="C6" s="3">
        <v>121</v>
      </c>
    </row>
    <row r="7" spans="2:24" x14ac:dyDescent="0.35">
      <c r="B7" s="4" t="s">
        <v>3</v>
      </c>
      <c r="C7" s="17">
        <v>54633</v>
      </c>
      <c r="D7" s="26" t="s">
        <v>6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9" spans="2:24" x14ac:dyDescent="0.35">
      <c r="C9" s="4" t="s">
        <v>8</v>
      </c>
      <c r="D9" s="22" t="s">
        <v>0</v>
      </c>
      <c r="E9" s="22"/>
      <c r="F9" s="22"/>
      <c r="G9" s="23"/>
      <c r="H9" s="24" t="s">
        <v>1</v>
      </c>
      <c r="I9" s="24"/>
      <c r="J9" s="24"/>
      <c r="K9" s="25" t="s">
        <v>4</v>
      </c>
      <c r="L9" s="22"/>
      <c r="M9" s="22"/>
      <c r="N9" s="22"/>
      <c r="O9" s="22"/>
      <c r="P9" s="22"/>
      <c r="Q9" s="22"/>
      <c r="R9" s="22"/>
      <c r="S9" s="22"/>
      <c r="T9" s="22"/>
    </row>
    <row r="10" spans="2:24" x14ac:dyDescent="0.35">
      <c r="D10" s="1" t="str">
        <f>MID(C5,1,1)</f>
        <v>0</v>
      </c>
      <c r="E10" s="1" t="str">
        <f>MID(C5,2,1)</f>
        <v>0</v>
      </c>
      <c r="F10" s="1" t="str">
        <f>MID(C5,3,1)</f>
        <v>0</v>
      </c>
      <c r="G10" s="1" t="str">
        <f>MID(C5,4,1)</f>
        <v>1</v>
      </c>
      <c r="H10" s="19" t="str">
        <f>MID(C6,1,1)</f>
        <v>1</v>
      </c>
      <c r="I10" s="6" t="str">
        <f>MID(C6,2,1)</f>
        <v>2</v>
      </c>
      <c r="J10" s="20" t="str">
        <f>MID(C6,3,1)</f>
        <v>1</v>
      </c>
      <c r="K10" s="1" t="str">
        <f>MID(TEXT(C7,"0000000000"),1,1)</f>
        <v>0</v>
      </c>
      <c r="L10" s="1" t="str">
        <f>MID(TEXT(C7,"0000000000"),2,1)</f>
        <v>0</v>
      </c>
      <c r="M10" s="1" t="str">
        <f>MID(TEXT(C7,"0000000000"),3,1)</f>
        <v>0</v>
      </c>
      <c r="N10" s="1" t="str">
        <f>MID(TEXT(C7,"0000000000"),4,1)</f>
        <v>0</v>
      </c>
      <c r="O10" s="1" t="str">
        <f>MID(TEXT(C7,"0000000000"),5,1)</f>
        <v>0</v>
      </c>
      <c r="P10" s="1" t="str">
        <f>MID(TEXT(C7,"0000000000"),6,1)</f>
        <v>5</v>
      </c>
      <c r="Q10" s="1" t="str">
        <f>MID(TEXT(C7,"0000000000"),7,1)</f>
        <v>4</v>
      </c>
      <c r="R10" s="1" t="str">
        <f>MID(TEXT(C7,"0000000000"),8,1)</f>
        <v>6</v>
      </c>
      <c r="S10" s="1" t="str">
        <f>MID(TEXT(C7,"0000000000"),9,1)</f>
        <v>3</v>
      </c>
      <c r="T10" s="1" t="str">
        <f>MID(TEXT(C7,"0000090000"),10,1)</f>
        <v>3</v>
      </c>
    </row>
    <row r="11" spans="2:24" x14ac:dyDescent="0.35">
      <c r="C11" s="5" t="s">
        <v>5</v>
      </c>
      <c r="D11" s="6">
        <v>2</v>
      </c>
      <c r="E11" s="6">
        <v>1</v>
      </c>
      <c r="F11" s="6">
        <v>2</v>
      </c>
      <c r="G11" s="6">
        <v>1</v>
      </c>
      <c r="H11" s="6">
        <v>2</v>
      </c>
      <c r="I11" s="6">
        <v>1</v>
      </c>
      <c r="J11" s="6">
        <v>2</v>
      </c>
      <c r="K11" s="6">
        <v>1</v>
      </c>
      <c r="L11" s="6">
        <v>2</v>
      </c>
      <c r="M11" s="6">
        <v>1</v>
      </c>
      <c r="N11" s="6">
        <v>2</v>
      </c>
      <c r="O11" s="6">
        <v>1</v>
      </c>
      <c r="P11" s="6">
        <v>2</v>
      </c>
      <c r="Q11" s="6">
        <v>1</v>
      </c>
      <c r="R11" s="6">
        <v>2</v>
      </c>
      <c r="S11" s="6">
        <v>1</v>
      </c>
      <c r="T11" s="6">
        <v>2</v>
      </c>
    </row>
    <row r="12" spans="2:24" x14ac:dyDescent="0.35">
      <c r="D12" s="7">
        <f>D11*D10</f>
        <v>0</v>
      </c>
      <c r="E12" s="7">
        <f t="shared" ref="E12:T12" si="0">E11*E10</f>
        <v>0</v>
      </c>
      <c r="F12" s="7">
        <f t="shared" si="0"/>
        <v>0</v>
      </c>
      <c r="G12" s="7">
        <f t="shared" si="0"/>
        <v>1</v>
      </c>
      <c r="H12" s="7">
        <f t="shared" si="0"/>
        <v>2</v>
      </c>
      <c r="I12" s="7">
        <f t="shared" si="0"/>
        <v>2</v>
      </c>
      <c r="J12" s="7">
        <f t="shared" si="0"/>
        <v>2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10</v>
      </c>
      <c r="Q12" s="7">
        <f t="shared" si="0"/>
        <v>4</v>
      </c>
      <c r="R12" s="7">
        <f t="shared" si="0"/>
        <v>12</v>
      </c>
      <c r="S12" s="7">
        <f t="shared" si="0"/>
        <v>3</v>
      </c>
      <c r="T12" s="7">
        <f t="shared" si="0"/>
        <v>6</v>
      </c>
    </row>
    <row r="13" spans="2:24" x14ac:dyDescent="0.35">
      <c r="C13" s="4" t="s">
        <v>9</v>
      </c>
      <c r="D13" s="1">
        <f>IF(LEN(D12)&gt;1,LEFT(D12,1)+RIGHT(D12,1),D12)</f>
        <v>0</v>
      </c>
      <c r="E13" s="1">
        <f t="shared" ref="E13:T13" si="1">IF(LEN(E12)&gt;1,LEFT(E12,1)+RIGHT(E12,1),E12)</f>
        <v>0</v>
      </c>
      <c r="F13" s="1">
        <f t="shared" si="1"/>
        <v>0</v>
      </c>
      <c r="G13" s="1">
        <f t="shared" si="1"/>
        <v>1</v>
      </c>
      <c r="H13" s="1">
        <f t="shared" si="1"/>
        <v>2</v>
      </c>
      <c r="I13" s="1">
        <f t="shared" si="1"/>
        <v>2</v>
      </c>
      <c r="J13" s="1">
        <f t="shared" si="1"/>
        <v>2</v>
      </c>
      <c r="K13" s="1">
        <f t="shared" si="1"/>
        <v>0</v>
      </c>
      <c r="L13" s="1">
        <f t="shared" si="1"/>
        <v>0</v>
      </c>
      <c r="M13" s="1">
        <f t="shared" si="1"/>
        <v>0</v>
      </c>
      <c r="N13" s="1">
        <f t="shared" si="1"/>
        <v>0</v>
      </c>
      <c r="O13" s="1">
        <f t="shared" si="1"/>
        <v>0</v>
      </c>
      <c r="P13" s="1">
        <f t="shared" si="1"/>
        <v>1</v>
      </c>
      <c r="Q13" s="1">
        <f t="shared" si="1"/>
        <v>4</v>
      </c>
      <c r="R13" s="1">
        <f t="shared" si="1"/>
        <v>3</v>
      </c>
      <c r="S13" s="1">
        <f t="shared" si="1"/>
        <v>3</v>
      </c>
      <c r="T13" s="1">
        <f t="shared" si="1"/>
        <v>6</v>
      </c>
      <c r="X13" s="8"/>
    </row>
    <row r="14" spans="2:24" x14ac:dyDescent="0.35">
      <c r="C14" s="1" t="s">
        <v>7</v>
      </c>
      <c r="D14" s="1">
        <f>SUM(D13:T13)</f>
        <v>24</v>
      </c>
    </row>
    <row r="16" spans="2:24" x14ac:dyDescent="0.35">
      <c r="C16" s="4" t="s">
        <v>10</v>
      </c>
    </row>
    <row r="17" spans="2:4" x14ac:dyDescent="0.35">
      <c r="C17" s="1" t="s">
        <v>11</v>
      </c>
      <c r="D17" s="1">
        <f>D14</f>
        <v>24</v>
      </c>
    </row>
    <row r="18" spans="2:4" x14ac:dyDescent="0.35">
      <c r="C18" s="1" t="s">
        <v>12</v>
      </c>
      <c r="D18" s="1">
        <v>10</v>
      </c>
    </row>
    <row r="19" spans="2:4" x14ac:dyDescent="0.35">
      <c r="C19" s="1" t="s">
        <v>13</v>
      </c>
      <c r="D19" s="1">
        <f>MOD(D17,D18)</f>
        <v>4</v>
      </c>
    </row>
    <row r="20" spans="2:4" x14ac:dyDescent="0.35">
      <c r="C20" s="21" t="s">
        <v>14</v>
      </c>
      <c r="D20" s="21">
        <f>IF(D19=0,0,10-D19)</f>
        <v>6</v>
      </c>
    </row>
    <row r="22" spans="2:4" x14ac:dyDescent="0.35">
      <c r="B22" s="1" t="s">
        <v>15</v>
      </c>
      <c r="C22" s="9" t="str">
        <f>TEXT(C7,"0000000000")&amp;"-"&amp;D20</f>
        <v>0000054633-6</v>
      </c>
    </row>
  </sheetData>
  <mergeCells count="4">
    <mergeCell ref="D9:G9"/>
    <mergeCell ref="H9:J9"/>
    <mergeCell ref="K9:T9"/>
    <mergeCell ref="D7:T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1916-02F7-4884-937F-EAAF0A09F4A2}">
  <dimension ref="B4:O13"/>
  <sheetViews>
    <sheetView showGridLines="0" workbookViewId="0">
      <selection activeCell="M13" sqref="M13"/>
    </sheetView>
  </sheetViews>
  <sheetFormatPr defaultRowHeight="21" x14ac:dyDescent="0.35"/>
  <cols>
    <col min="1" max="1" width="9.140625" style="1"/>
    <col min="2" max="2" width="40.85546875" style="1" bestFit="1" customWidth="1"/>
    <col min="3" max="3" width="4.42578125" style="1" bestFit="1" customWidth="1"/>
    <col min="4" max="11" width="2.85546875" style="1" bestFit="1" customWidth="1"/>
    <col min="12" max="12" width="4.42578125" style="1" bestFit="1" customWidth="1"/>
    <col min="13" max="13" width="26.42578125" style="1" bestFit="1" customWidth="1"/>
    <col min="14" max="14" width="13.5703125" style="1" bestFit="1" customWidth="1"/>
    <col min="15" max="16384" width="9.140625" style="1"/>
  </cols>
  <sheetData>
    <row r="4" spans="2:15" x14ac:dyDescent="0.35">
      <c r="B4" s="1" t="s">
        <v>16</v>
      </c>
    </row>
    <row r="5" spans="2:15" x14ac:dyDescent="0.35">
      <c r="B5" s="18">
        <v>45217</v>
      </c>
    </row>
    <row r="6" spans="2:15" x14ac:dyDescent="0.35">
      <c r="M6" s="16" t="s">
        <v>17</v>
      </c>
      <c r="N6" s="15" t="s">
        <v>18</v>
      </c>
      <c r="O6" s="15"/>
    </row>
    <row r="7" spans="2:15" x14ac:dyDescent="0.35">
      <c r="B7" s="1" t="s">
        <v>19</v>
      </c>
      <c r="C7" s="12" t="str">
        <f>MID(TEXT(B5,"00000000000"),1,1)</f>
        <v>0</v>
      </c>
      <c r="D7" s="12" t="str">
        <f>MID(TEXT(B5,"00000000000"),2,1)</f>
        <v>0</v>
      </c>
      <c r="E7" s="12" t="str">
        <f>MID(TEXT(B5,"00000000000"),3,1)</f>
        <v>0</v>
      </c>
      <c r="F7" s="12" t="str">
        <f>MID(TEXT(B5,"00000000000"),4,1)</f>
        <v>0</v>
      </c>
      <c r="G7" s="12" t="str">
        <f>MID(TEXT(B5,"00000000000"),5,1)</f>
        <v>0</v>
      </c>
      <c r="H7" s="12" t="str">
        <f>MID(TEXT(B5,"00000000000"),6,1)</f>
        <v>0</v>
      </c>
      <c r="I7" s="12" t="str">
        <f>MID(TEXT(B5,"00000000000"),7,1)</f>
        <v>4</v>
      </c>
      <c r="J7" s="12" t="str">
        <f>MID(TEXT(B5,"00000000000"),8,1)</f>
        <v>5</v>
      </c>
      <c r="K7" s="12" t="str">
        <f>MID(TEXT(B5,"00000000000"),9,1)</f>
        <v>2</v>
      </c>
      <c r="L7" s="12" t="str">
        <f>MID(TEXT(B5,"00000000000"),10,1)</f>
        <v>1</v>
      </c>
      <c r="M7" s="13" t="str">
        <f>MID(TEXT(B5,"00000000000"),11,1)</f>
        <v>7</v>
      </c>
      <c r="N7" s="1">
        <f>M13</f>
        <v>7</v>
      </c>
    </row>
    <row r="8" spans="2:15" x14ac:dyDescent="0.35">
      <c r="B8" s="1" t="s">
        <v>20</v>
      </c>
      <c r="C8" s="12">
        <v>3</v>
      </c>
      <c r="D8" s="12">
        <v>2</v>
      </c>
      <c r="E8" s="12">
        <v>9</v>
      </c>
      <c r="F8" s="12">
        <v>8</v>
      </c>
      <c r="G8" s="12">
        <v>7</v>
      </c>
      <c r="H8" s="12">
        <v>6</v>
      </c>
      <c r="I8" s="12">
        <v>5</v>
      </c>
      <c r="J8" s="12">
        <v>4</v>
      </c>
      <c r="K8" s="12">
        <v>3</v>
      </c>
      <c r="L8" s="12">
        <v>2</v>
      </c>
    </row>
    <row r="9" spans="2:15" x14ac:dyDescent="0.35">
      <c r="B9" s="1" t="s">
        <v>21</v>
      </c>
      <c r="C9" s="12">
        <f>C7*C8</f>
        <v>0</v>
      </c>
      <c r="D9" s="12">
        <f t="shared" ref="D9:L9" si="0">D7*D8</f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20</v>
      </c>
      <c r="J9" s="12">
        <f t="shared" si="0"/>
        <v>20</v>
      </c>
      <c r="K9" s="12">
        <f t="shared" si="0"/>
        <v>6</v>
      </c>
      <c r="L9" s="12">
        <f t="shared" si="0"/>
        <v>2</v>
      </c>
    </row>
    <row r="10" spans="2:15" x14ac:dyDescent="0.35">
      <c r="B10" s="1" t="s">
        <v>22</v>
      </c>
      <c r="M10" s="3">
        <f>SUM(C9:L9)</f>
        <v>48</v>
      </c>
    </row>
    <row r="11" spans="2:15" x14ac:dyDescent="0.35">
      <c r="B11" s="1" t="s">
        <v>23</v>
      </c>
      <c r="M11" s="3">
        <f>MOD(M10,11)</f>
        <v>4</v>
      </c>
    </row>
    <row r="12" spans="2:15" x14ac:dyDescent="0.35">
      <c r="B12" s="1" t="s">
        <v>24</v>
      </c>
      <c r="M12" s="3">
        <f>11-M11</f>
        <v>7</v>
      </c>
    </row>
    <row r="13" spans="2:15" x14ac:dyDescent="0.35">
      <c r="B13" s="9" t="s">
        <v>14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14">
        <f>IF(M12&gt;=10,0,M12)</f>
        <v>7</v>
      </c>
    </row>
  </sheetData>
  <sheetProtection algorithmName="SHA-512" hashValue="O3fyQwvY460gcJ+QRpxIJkRc1tMDOcTaC7nqtBQCcd+NoK3tASeDFeLZem1PuKIp/SIHBLUZ9xF/NFW3BPgmmg==" saltValue="TwrKmNvuSLMCVeAxRxowuQ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9C4A-FFD1-470E-B0AE-A6A9003277F4}">
  <dimension ref="B4:K13"/>
  <sheetViews>
    <sheetView showGridLines="0" workbookViewId="0">
      <selection activeCell="B6" sqref="B6"/>
    </sheetView>
  </sheetViews>
  <sheetFormatPr defaultRowHeight="21" x14ac:dyDescent="0.35"/>
  <cols>
    <col min="1" max="1" width="9.140625" style="1"/>
    <col min="2" max="2" width="23.7109375" style="1" bestFit="1" customWidth="1"/>
    <col min="3" max="3" width="4.42578125" style="1" bestFit="1" customWidth="1"/>
    <col min="4" max="8" width="2.85546875" style="1" bestFit="1" customWidth="1"/>
    <col min="9" max="9" width="4.42578125" style="1" bestFit="1" customWidth="1"/>
    <col min="10" max="10" width="15.5703125" style="1" bestFit="1" customWidth="1"/>
    <col min="11" max="11" width="13.5703125" style="1" bestFit="1" customWidth="1"/>
    <col min="12" max="16384" width="9.140625" style="1"/>
  </cols>
  <sheetData>
    <row r="4" spans="2:11" x14ac:dyDescent="0.35">
      <c r="B4" s="1" t="s">
        <v>16</v>
      </c>
    </row>
    <row r="5" spans="2:11" x14ac:dyDescent="0.35">
      <c r="B5" s="10">
        <v>35298</v>
      </c>
    </row>
    <row r="6" spans="2:11" x14ac:dyDescent="0.35">
      <c r="J6" s="11" t="s">
        <v>17</v>
      </c>
      <c r="K6" s="1" t="s">
        <v>18</v>
      </c>
    </row>
    <row r="7" spans="2:11" x14ac:dyDescent="0.35">
      <c r="B7" s="1" t="s">
        <v>19</v>
      </c>
      <c r="C7" s="12" t="str">
        <f>MID(TEXT(B5,"00000000000"),4,1)</f>
        <v>0</v>
      </c>
      <c r="D7" s="12" t="str">
        <f>MID(TEXT(B5,"00000000000"),5,1)</f>
        <v>0</v>
      </c>
      <c r="E7" s="12" t="str">
        <f>MID(TEXT(B5,"00000000000"),6,1)</f>
        <v>0</v>
      </c>
      <c r="F7" s="12" t="str">
        <f>MID(TEXT(B5,"00000000000"),7,1)</f>
        <v>3</v>
      </c>
      <c r="G7" s="12" t="str">
        <f>MID(TEXT(B5,"00000000000"),8,1)</f>
        <v>5</v>
      </c>
      <c r="H7" s="12" t="str">
        <f>MID(TEXT(B5,"00000000000"),9,1)</f>
        <v>2</v>
      </c>
      <c r="I7" s="12" t="str">
        <f>MID(TEXT(B5,"00000000000"),10,1)</f>
        <v>9</v>
      </c>
      <c r="J7" s="13" t="str">
        <f>MID(TEXT(B5,"00000000000"),11,1)</f>
        <v>8</v>
      </c>
      <c r="K7" s="1">
        <f>J13</f>
        <v>7</v>
      </c>
    </row>
    <row r="8" spans="2:11" x14ac:dyDescent="0.35">
      <c r="B8" s="1" t="s">
        <v>20</v>
      </c>
      <c r="C8" s="12">
        <v>8</v>
      </c>
      <c r="D8" s="12">
        <v>7</v>
      </c>
      <c r="E8" s="12">
        <v>6</v>
      </c>
      <c r="F8" s="12">
        <v>5</v>
      </c>
      <c r="G8" s="12">
        <v>4</v>
      </c>
      <c r="H8" s="12">
        <v>3</v>
      </c>
      <c r="I8" s="12">
        <v>2</v>
      </c>
    </row>
    <row r="9" spans="2:11" x14ac:dyDescent="0.35">
      <c r="B9" s="1" t="s">
        <v>21</v>
      </c>
      <c r="C9" s="12">
        <f t="shared" ref="C9:I9" si="0">C7*C8</f>
        <v>0</v>
      </c>
      <c r="D9" s="12">
        <f t="shared" si="0"/>
        <v>0</v>
      </c>
      <c r="E9" s="12">
        <f t="shared" si="0"/>
        <v>0</v>
      </c>
      <c r="F9" s="12">
        <f t="shared" si="0"/>
        <v>15</v>
      </c>
      <c r="G9" s="12">
        <f t="shared" si="0"/>
        <v>20</v>
      </c>
      <c r="H9" s="12">
        <f t="shared" si="0"/>
        <v>6</v>
      </c>
      <c r="I9" s="12">
        <f t="shared" si="0"/>
        <v>18</v>
      </c>
    </row>
    <row r="10" spans="2:11" x14ac:dyDescent="0.35">
      <c r="B10" s="1" t="s">
        <v>22</v>
      </c>
      <c r="J10" s="3">
        <f>SUM(C9:I9)</f>
        <v>59</v>
      </c>
    </row>
    <row r="11" spans="2:11" x14ac:dyDescent="0.35">
      <c r="B11" s="1" t="s">
        <v>23</v>
      </c>
      <c r="J11" s="3">
        <f>MOD(J10,11)</f>
        <v>4</v>
      </c>
    </row>
    <row r="12" spans="2:11" x14ac:dyDescent="0.35">
      <c r="B12" s="1" t="s">
        <v>24</v>
      </c>
      <c r="J12" s="3">
        <f>11-J11</f>
        <v>7</v>
      </c>
    </row>
    <row r="13" spans="2:11" x14ac:dyDescent="0.35">
      <c r="B13" s="9" t="s">
        <v>14</v>
      </c>
      <c r="C13" s="9"/>
      <c r="D13" s="9"/>
      <c r="E13" s="9"/>
      <c r="F13" s="9"/>
      <c r="G13" s="9"/>
      <c r="H13" s="9"/>
      <c r="I13" s="9"/>
      <c r="J13" s="14">
        <f>IF(J12&gt;=10,0,J12)</f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16A31E385DFE4A98B44547252B4E24" ma:contentTypeVersion="14" ma:contentTypeDescription="Crie um novo documento." ma:contentTypeScope="" ma:versionID="ef44ec2cda4dfe5e3094f7640741981e">
  <xsd:schema xmlns:xsd="http://www.w3.org/2001/XMLSchema" xmlns:xs="http://www.w3.org/2001/XMLSchema" xmlns:p="http://schemas.microsoft.com/office/2006/metadata/properties" xmlns:ns2="a5e9f08d-c42c-4c79-913a-123ea3e2f733" xmlns:ns3="7e9cc936-785f-4249-a4d0-d6cf4031cd8d" targetNamespace="http://schemas.microsoft.com/office/2006/metadata/properties" ma:root="true" ma:fieldsID="44ffb75b541b3c35a7294b5e9ff3f2f5" ns2:_="" ns3:_="">
    <xsd:import namespace="a5e9f08d-c42c-4c79-913a-123ea3e2f733"/>
    <xsd:import namespace="7e9cc936-785f-4249-a4d0-d6cf4031cd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e9f08d-c42c-4c79-913a-123ea3e2f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b290a7ce-698b-42b1-b35c-d7afcd9f40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cc936-785f-4249-a4d0-d6cf4031cd8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85215-9432-476b-9af5-c799bfb4a786}" ma:internalName="TaxCatchAll" ma:showField="CatchAllData" ma:web="7e9cc936-785f-4249-a4d0-d6cf4031c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AAACE-D90B-4E23-929B-27205E9580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e9f08d-c42c-4c79-913a-123ea3e2f733"/>
    <ds:schemaRef ds:uri="7e9cc936-785f-4249-a4d0-d6cf4031cd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8C7494-86C6-400E-8048-E516899FE0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MODULO 10</vt:lpstr>
      <vt:lpstr>MODULO 11 - 11 CARACTERES</vt:lpstr>
      <vt:lpstr>MODULO 11 - 8 CARACTERES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Ramos Ribeiro Do Valle</dc:creator>
  <cp:lastModifiedBy>Douglas Silva</cp:lastModifiedBy>
  <dcterms:created xsi:type="dcterms:W3CDTF">2024-08-23T15:25:38Z</dcterms:created>
  <dcterms:modified xsi:type="dcterms:W3CDTF">2025-01-29T21:45:54Z</dcterms:modified>
</cp:coreProperties>
</file>